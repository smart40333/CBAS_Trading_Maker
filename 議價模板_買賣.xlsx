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y_Project\CBAS_Trading_Maker\"/>
    </mc:Choice>
  </mc:AlternateContent>
  <bookViews>
    <workbookView xWindow="0" yWindow="0" windowWidth="57600" windowHeight="11475"/>
  </bookViews>
  <sheets>
    <sheet name="買賣" sheetId="1" r:id="rId1"/>
  </sheets>
  <externalReferences>
    <externalReference r:id="rId2"/>
    <externalReference r:id="rId3"/>
  </externalReferences>
  <definedNames>
    <definedName name="AUpdate">1</definedName>
    <definedName name="BUpdate">1</definedName>
    <definedName name="Exec" localSheetId="0">#REF!</definedName>
    <definedName name="Exec">#REF!</definedName>
    <definedName name="Exec2">[1]交易上傳_提解!$H$4:$Y$54</definedName>
    <definedName name="GUpdate">0</definedName>
    <definedName name="_xlnm.Print_Area" localSheetId="0">買賣!$A$1:$I$23</definedName>
    <definedName name="tewqsdg">#REF!</definedName>
    <definedName name="TUpdate">1</definedName>
    <definedName name="XX_TEJ1" localSheetId="0">#REF!</definedName>
    <definedName name="XX_TEJ1">#REF!</definedName>
    <definedName name="XX_TEJ2" localSheetId="0">#REF!</definedName>
    <definedName name="XX_TEJ2">#REF!</definedName>
    <definedName name="XX_TEJ3" localSheetId="0">#REF!</definedName>
    <definedName name="XX_TEJ3">#REF!</definedName>
    <definedName name="XX_TEJ4" localSheetId="0">#REF!</definedName>
    <definedName name="XX_TEJ4">#REF!</definedName>
    <definedName name="XX_TEJ5" localSheetId="0">#REF!</definedName>
    <definedName name="XX_TEJ5">#REF!</definedName>
    <definedName name="XX_TEJ6" localSheetId="0">#REF!</definedName>
    <definedName name="XX_TEJ6">#REF!</definedName>
    <definedName name="XX_TEJX" localSheetId="0">#REF!</definedName>
    <definedName name="XX_TEJ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B18" i="1" s="1"/>
  <c r="I6" i="1"/>
  <c r="I7" i="1" s="1"/>
</calcChain>
</file>

<file path=xl/sharedStrings.xml><?xml version="1.0" encoding="utf-8"?>
<sst xmlns="http://schemas.openxmlformats.org/spreadsheetml/2006/main" count="30" uniqueCount="30">
  <si>
    <t>統一綜合證券股份有限公司櫃檯買賣</t>
    <phoneticPr fontId="7" type="noConversion"/>
  </si>
  <si>
    <t>可轉債買賣成交單</t>
    <phoneticPr fontId="7" type="noConversion"/>
  </si>
  <si>
    <r>
      <rPr>
        <sz val="14"/>
        <rFont val="Wingdings 2"/>
        <family val="1"/>
        <charset val="2"/>
      </rPr>
      <t>R</t>
    </r>
    <r>
      <rPr>
        <sz val="12"/>
        <rFont val="標楷體"/>
        <family val="4"/>
        <charset val="136"/>
      </rPr>
      <t>營業處所議價</t>
    </r>
    <phoneticPr fontId="4" type="noConversion"/>
  </si>
  <si>
    <t>單據編號：</t>
    <phoneticPr fontId="4" type="noConversion"/>
  </si>
  <si>
    <t>成交日期：</t>
    <phoneticPr fontId="4" type="noConversion"/>
  </si>
  <si>
    <t>交易對手：劉興餘</t>
    <phoneticPr fontId="4" type="noConversion"/>
  </si>
  <si>
    <t>集保帳號：92270123415</t>
    <phoneticPr fontId="4" type="noConversion"/>
  </si>
  <si>
    <t>給付結算日期：</t>
    <phoneticPr fontId="4" type="noConversion"/>
  </si>
  <si>
    <t>居住所或營業處所</t>
    <phoneticPr fontId="7" type="noConversion"/>
  </si>
  <si>
    <t>桃園市八德區瑞安街１１８之２號十二樓</t>
    <phoneticPr fontId="4" type="noConversion"/>
  </si>
  <si>
    <t>國民身份證字號</t>
    <phoneticPr fontId="7" type="noConversion"/>
  </si>
  <si>
    <t>H123326603</t>
    <phoneticPr fontId="4" type="noConversion"/>
  </si>
  <si>
    <t>或法人登記證字號</t>
  </si>
  <si>
    <t>可轉債代號及名稱</t>
    <phoneticPr fontId="7" type="noConversion"/>
  </si>
  <si>
    <t>張數</t>
    <phoneticPr fontId="7" type="noConversion"/>
  </si>
  <si>
    <t>單價</t>
    <phoneticPr fontId="7" type="noConversion"/>
  </si>
  <si>
    <t>成交價格</t>
  </si>
  <si>
    <t>應計利息</t>
  </si>
  <si>
    <t>應計金額</t>
  </si>
  <si>
    <t>天數</t>
  </si>
  <si>
    <t>金額</t>
  </si>
  <si>
    <t>小          計</t>
  </si>
  <si>
    <t>新 台 幣 合 計</t>
    <phoneticPr fontId="7" type="noConversion"/>
  </si>
  <si>
    <t>約  定  事  項</t>
    <phoneticPr fontId="4" type="noConversion"/>
  </si>
  <si>
    <t>備          註</t>
    <phoneticPr fontId="4" type="noConversion"/>
  </si>
  <si>
    <t>證券商簽章</t>
    <phoneticPr fontId="7" type="noConversion"/>
  </si>
  <si>
    <t>客戶簽章</t>
  </si>
  <si>
    <t>一聯交由客戶留存，一聯由證券商留存。</t>
  </si>
  <si>
    <r>
      <rPr>
        <sz val="14"/>
        <rFont val="Wingdings 2"/>
        <family val="1"/>
        <charset val="2"/>
      </rPr>
      <t>R</t>
    </r>
    <r>
      <rPr>
        <sz val="12"/>
        <rFont val="標楷體"/>
        <family val="4"/>
        <charset val="136"/>
      </rPr>
      <t>自營買進</t>
    </r>
    <phoneticPr fontId="4" type="noConversion"/>
  </si>
  <si>
    <t>□ 自營賣出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</si>
</sst>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.00_);_(* \(#,##0.00\);_(* &quot;-&quot;??_);_(@_)"/>
    <numFmt numFmtId="177" formatCode="_-* #,##0_-;\-* #,##0_-;_-* &quot;-&quot;??_-;_-@_-"/>
    <numFmt numFmtId="178" formatCode="[DBNum2][$-404]General\ &quot;元整&quot;"/>
    <numFmt numFmtId="180" formatCode="_(* #,##0_);_(* \(#,##0\);_(* &quot;-&quot;_);_(@_)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4"/>
      <name val="Wingdings 2"/>
      <family val="1"/>
      <charset val="2"/>
    </font>
    <font>
      <sz val="9"/>
      <name val="新細明體"/>
      <family val="1"/>
      <charset val="136"/>
    </font>
    <font>
      <sz val="22"/>
      <name val="標楷體"/>
      <family val="4"/>
      <charset val="136"/>
    </font>
    <font>
      <u/>
      <sz val="20"/>
      <name val="標楷體"/>
      <family val="4"/>
      <charset val="136"/>
    </font>
    <font>
      <u/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77" fontId="5" fillId="0" borderId="12" xfId="1" applyNumberFormat="1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vertical="center"/>
    </xf>
    <xf numFmtId="3" fontId="5" fillId="0" borderId="12" xfId="1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3" fontId="5" fillId="0" borderId="8" xfId="1" applyNumberFormat="1" applyFont="1" applyBorder="1" applyAlignment="1">
      <alignment horizontal="center" vertical="center" wrapText="1"/>
    </xf>
    <xf numFmtId="178" fontId="5" fillId="0" borderId="10" xfId="0" applyNumberFormat="1" applyFont="1" applyBorder="1" applyAlignment="1">
      <alignment horizontal="justify" vertical="center" wrapText="1"/>
    </xf>
    <xf numFmtId="178" fontId="0" fillId="0" borderId="0" xfId="0" applyNumberFormat="1" applyBorder="1" applyAlignment="1">
      <alignment horizontal="justify" vertical="center" wrapText="1"/>
    </xf>
    <xf numFmtId="178" fontId="0" fillId="0" borderId="4" xfId="0" applyNumberFormat="1" applyBorder="1" applyAlignment="1">
      <alignment horizontal="justify" vertical="center" wrapText="1"/>
    </xf>
    <xf numFmtId="178" fontId="0" fillId="0" borderId="5" xfId="0" applyNumberFormat="1" applyBorder="1" applyAlignment="1">
      <alignment horizontal="justify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1" applyNumberFormat="1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6" fontId="5" fillId="0" borderId="9" xfId="1" applyFont="1" applyBorder="1" applyAlignment="1">
      <alignment vertical="center" wrapText="1"/>
    </xf>
    <xf numFmtId="176" fontId="5" fillId="0" borderId="11" xfId="1" applyFont="1" applyBorder="1" applyAlignment="1">
      <alignment vertical="center" wrapText="1"/>
    </xf>
    <xf numFmtId="3" fontId="5" fillId="0" borderId="9" xfId="0" applyNumberFormat="1" applyFont="1" applyBorder="1" applyAlignment="1">
      <alignment horizontal="center" vertical="center" wrapText="1"/>
    </xf>
    <xf numFmtId="3" fontId="5" fillId="0" borderId="11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justify" vertical="center" wrapText="1"/>
    </xf>
    <xf numFmtId="3" fontId="5" fillId="0" borderId="11" xfId="0" applyNumberFormat="1" applyFont="1" applyBorder="1" applyAlignment="1">
      <alignment horizontal="justify" vertical="center" wrapText="1"/>
    </xf>
    <xf numFmtId="0" fontId="0" fillId="0" borderId="12" xfId="0" applyBorder="1" applyAlignment="1">
      <alignment vertical="center" wrapText="1"/>
    </xf>
    <xf numFmtId="0" fontId="5" fillId="0" borderId="12" xfId="0" applyFont="1" applyBorder="1" applyAlignment="1">
      <alignment horizontal="justify" vertical="center" wrapText="1"/>
    </xf>
    <xf numFmtId="0" fontId="12" fillId="0" borderId="13" xfId="0" applyFont="1" applyFill="1" applyBorder="1" applyAlignment="1">
      <alignment horizontal="center" vertical="top" wrapText="1"/>
    </xf>
    <xf numFmtId="0" fontId="12" fillId="0" borderId="15" xfId="0" applyFont="1" applyFill="1" applyBorder="1" applyAlignment="1">
      <alignment horizontal="center" vertical="top" wrapText="1"/>
    </xf>
    <xf numFmtId="0" fontId="12" fillId="0" borderId="14" xfId="0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2" fillId="0" borderId="16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3" fontId="5" fillId="0" borderId="10" xfId="0" applyNumberFormat="1" applyFont="1" applyBorder="1" applyAlignment="1">
      <alignment horizontal="justify" vertical="center" wrapText="1"/>
    </xf>
    <xf numFmtId="178" fontId="5" fillId="0" borderId="10" xfId="0" applyNumberFormat="1" applyFont="1" applyBorder="1" applyAlignment="1">
      <alignment horizontal="justify" vertical="center" wrapText="1"/>
    </xf>
    <xf numFmtId="178" fontId="0" fillId="0" borderId="10" xfId="0" applyNumberFormat="1" applyBorder="1" applyAlignment="1">
      <alignment horizontal="justify" vertical="center" wrapText="1"/>
    </xf>
    <xf numFmtId="178" fontId="0" fillId="0" borderId="11" xfId="0" applyNumberFormat="1" applyBorder="1" applyAlignment="1">
      <alignment horizontal="justify" vertical="center" wrapText="1"/>
    </xf>
  </cellXfs>
  <cellStyles count="3">
    <cellStyle name="一般" xfId="0" builtinId="0"/>
    <cellStyle name="千分位" xfId="1" builtinId="3"/>
    <cellStyle name="千分位[0]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>
            <v/>
          </cell>
          <cell r="I11" t="str">
            <v>ASOP22080074</v>
          </cell>
          <cell r="J11" t="str">
            <v/>
          </cell>
          <cell r="K11" t="str">
            <v/>
          </cell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>
            <v/>
          </cell>
          <cell r="P11" t="str">
            <v/>
          </cell>
          <cell r="Q11" t="str">
            <v/>
          </cell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>
            <v/>
          </cell>
          <cell r="W11">
            <v>99.66</v>
          </cell>
          <cell r="X11" t="str">
            <v/>
          </cell>
          <cell r="Y11" t="str">
            <v/>
          </cell>
        </row>
        <row r="12">
          <cell r="H12" t="str">
            <v/>
          </cell>
          <cell r="I12" t="str">
            <v>ASOP22080084</v>
          </cell>
          <cell r="J12" t="str">
            <v/>
          </cell>
          <cell r="K12" t="str">
            <v/>
          </cell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>
            <v/>
          </cell>
          <cell r="P12" t="str">
            <v/>
          </cell>
          <cell r="Q12" t="str">
            <v/>
          </cell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>
            <v/>
          </cell>
          <cell r="W12">
            <v>97.34</v>
          </cell>
          <cell r="X12" t="str">
            <v/>
          </cell>
          <cell r="Y12" t="str">
            <v/>
          </cell>
        </row>
        <row r="13"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4"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5"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6"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7"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8"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9"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20"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1"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2"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3"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4"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5"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6"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7"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8"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9"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30"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1"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2"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3"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4"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5"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6"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7"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8"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9"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40"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1"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2"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3"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4"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5"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6"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7"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8"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9"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50"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1"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2"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3"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4"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theme="5" tint="0.59999389629810485"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defaultColWidth="8.875" defaultRowHeight="16.5" x14ac:dyDescent="0.25"/>
  <cols>
    <col min="1" max="1" width="23" customWidth="1"/>
    <col min="2" max="2" width="15.875" customWidth="1"/>
    <col min="4" max="4" width="6" customWidth="1"/>
    <col min="5" max="5" width="16.75" customWidth="1"/>
    <col min="6" max="6" width="4.25" customWidth="1"/>
    <col min="8" max="8" width="15" customWidth="1"/>
    <col min="9" max="9" width="25.75" customWidth="1"/>
    <col min="10" max="10" width="14.375" customWidth="1"/>
    <col min="11" max="12" width="11" customWidth="1"/>
    <col min="13" max="13" width="9.875" customWidth="1"/>
    <col min="14" max="14" width="6.5" customWidth="1"/>
    <col min="15" max="15" width="30.125" customWidth="1"/>
    <col min="16" max="16" width="30.25" customWidth="1"/>
    <col min="17" max="17" width="11.25" customWidth="1"/>
    <col min="18" max="18" width="11.375" customWidth="1"/>
    <col min="23" max="23" width="13.125" customWidth="1"/>
  </cols>
  <sheetData>
    <row r="1" spans="1:18" ht="21" customHeight="1" x14ac:dyDescent="0.25">
      <c r="A1" s="1"/>
      <c r="B1" s="2"/>
      <c r="C1" s="2"/>
      <c r="D1" s="2"/>
      <c r="E1" s="2"/>
      <c r="F1" s="2"/>
      <c r="G1" s="2"/>
      <c r="H1" s="2"/>
      <c r="I1" s="2"/>
      <c r="N1" s="3"/>
      <c r="O1" s="3"/>
    </row>
    <row r="2" spans="1:18" ht="30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N2" s="3"/>
      <c r="O2" s="3"/>
      <c r="Q2" s="4"/>
      <c r="R2" s="5"/>
    </row>
    <row r="3" spans="1:18" ht="27.75" x14ac:dyDescent="0.25">
      <c r="A3" s="28" t="s">
        <v>1</v>
      </c>
      <c r="B3" s="28"/>
      <c r="C3" s="28"/>
      <c r="D3" s="28"/>
      <c r="E3" s="28"/>
      <c r="F3" s="28"/>
      <c r="G3" s="28"/>
      <c r="H3" s="28"/>
      <c r="I3" s="28"/>
      <c r="Q3" s="4"/>
      <c r="R3" s="5"/>
    </row>
    <row r="4" spans="1:18" ht="20.25" customHeight="1" x14ac:dyDescent="0.25">
      <c r="A4" s="25" t="s">
        <v>28</v>
      </c>
      <c r="B4" s="6"/>
      <c r="C4" s="6"/>
      <c r="D4" s="6"/>
      <c r="E4" s="6"/>
      <c r="F4" s="6"/>
      <c r="G4" s="3" t="s">
        <v>2</v>
      </c>
      <c r="H4" s="3"/>
      <c r="I4" s="29">
        <v>10002</v>
      </c>
      <c r="Q4" s="4"/>
      <c r="R4" s="5"/>
    </row>
    <row r="5" spans="1:18" ht="20.25" customHeight="1" x14ac:dyDescent="0.25">
      <c r="A5" s="3" t="s">
        <v>29</v>
      </c>
      <c r="B5" s="7"/>
      <c r="C5" s="7"/>
      <c r="D5" s="30"/>
      <c r="E5" s="30"/>
      <c r="F5" s="30"/>
      <c r="G5" s="8" t="s">
        <v>3</v>
      </c>
      <c r="H5" s="8"/>
      <c r="I5" s="29"/>
      <c r="Q5" s="4"/>
      <c r="R5" s="5"/>
    </row>
    <row r="6" spans="1:18" ht="20.25" customHeight="1" x14ac:dyDescent="0.25">
      <c r="A6" s="9"/>
      <c r="B6" s="9"/>
      <c r="C6" s="9"/>
      <c r="D6" s="30"/>
      <c r="E6" s="30"/>
      <c r="F6" s="30"/>
      <c r="G6" s="31" t="s">
        <v>4</v>
      </c>
      <c r="H6" s="31"/>
      <c r="I6" s="10">
        <f ca="1">TODAY()</f>
        <v>45847</v>
      </c>
      <c r="Q6" s="4"/>
      <c r="R6" s="5"/>
    </row>
    <row r="7" spans="1:18" ht="20.25" customHeight="1" x14ac:dyDescent="0.25">
      <c r="A7" s="32" t="s">
        <v>5</v>
      </c>
      <c r="B7" s="32"/>
      <c r="C7" s="32"/>
      <c r="D7" s="33" t="s">
        <v>6</v>
      </c>
      <c r="E7" s="33"/>
      <c r="F7" s="33"/>
      <c r="G7" s="31" t="s">
        <v>7</v>
      </c>
      <c r="H7" s="31"/>
      <c r="I7" s="11">
        <f ca="1">WORKDAY(I6,1,[2]holiday!$A$2:$A$163)</f>
        <v>45848</v>
      </c>
    </row>
    <row r="8" spans="1:18" ht="20.25" customHeight="1" x14ac:dyDescent="0.25">
      <c r="A8" s="34" t="s">
        <v>8</v>
      </c>
      <c r="B8" s="36" t="s">
        <v>9</v>
      </c>
      <c r="C8" s="37"/>
      <c r="D8" s="37"/>
      <c r="E8" s="38"/>
      <c r="F8" s="42" t="s">
        <v>10</v>
      </c>
      <c r="G8" s="43"/>
      <c r="H8" s="44"/>
      <c r="I8" s="45" t="s">
        <v>11</v>
      </c>
    </row>
    <row r="9" spans="1:18" ht="20.25" customHeight="1" x14ac:dyDescent="0.25">
      <c r="A9" s="35"/>
      <c r="B9" s="39"/>
      <c r="C9" s="40"/>
      <c r="D9" s="40"/>
      <c r="E9" s="41"/>
      <c r="F9" s="47" t="s">
        <v>12</v>
      </c>
      <c r="G9" s="48"/>
      <c r="H9" s="49"/>
      <c r="I9" s="46"/>
    </row>
    <row r="10" spans="1:18" ht="20.25" customHeight="1" x14ac:dyDescent="0.25">
      <c r="A10" s="34" t="s">
        <v>13</v>
      </c>
      <c r="B10" s="34" t="s">
        <v>14</v>
      </c>
      <c r="C10" s="42" t="s">
        <v>15</v>
      </c>
      <c r="D10" s="44"/>
      <c r="E10" s="34" t="s">
        <v>16</v>
      </c>
      <c r="F10" s="50" t="s">
        <v>17</v>
      </c>
      <c r="G10" s="51"/>
      <c r="H10" s="52"/>
      <c r="I10" s="34" t="s">
        <v>18</v>
      </c>
    </row>
    <row r="11" spans="1:18" ht="20.25" customHeight="1" x14ac:dyDescent="0.25">
      <c r="A11" s="35"/>
      <c r="B11" s="35"/>
      <c r="C11" s="47"/>
      <c r="D11" s="49"/>
      <c r="E11" s="35"/>
      <c r="F11" s="50" t="s">
        <v>19</v>
      </c>
      <c r="G11" s="52"/>
      <c r="H11" s="12" t="s">
        <v>20</v>
      </c>
      <c r="I11" s="35"/>
    </row>
    <row r="12" spans="1:18" ht="20.25" customHeight="1" x14ac:dyDescent="0.25">
      <c r="A12" s="13"/>
      <c r="B12" s="13"/>
      <c r="C12" s="53">
        <v>102</v>
      </c>
      <c r="D12" s="54"/>
      <c r="E12" s="14"/>
      <c r="F12" s="55"/>
      <c r="G12" s="56"/>
      <c r="H12" s="15"/>
      <c r="I12" s="16"/>
    </row>
    <row r="13" spans="1:18" ht="20.25" customHeight="1" x14ac:dyDescent="0.25">
      <c r="A13" s="13"/>
      <c r="B13" s="13"/>
      <c r="C13" s="53"/>
      <c r="D13" s="54"/>
      <c r="E13" s="14"/>
      <c r="F13" s="57"/>
      <c r="G13" s="58"/>
      <c r="H13" s="17"/>
      <c r="I13" s="16"/>
    </row>
    <row r="14" spans="1:18" ht="20.25" customHeight="1" x14ac:dyDescent="0.25">
      <c r="A14" s="13"/>
      <c r="B14" s="13"/>
      <c r="C14" s="53"/>
      <c r="D14" s="54"/>
      <c r="E14" s="14"/>
      <c r="F14" s="55"/>
      <c r="G14" s="56"/>
      <c r="H14" s="17"/>
      <c r="I14" s="16"/>
    </row>
    <row r="15" spans="1:18" ht="20.25" customHeight="1" x14ac:dyDescent="0.25">
      <c r="A15" s="13"/>
      <c r="B15" s="13"/>
      <c r="C15" s="53"/>
      <c r="D15" s="54"/>
      <c r="E15" s="14"/>
      <c r="F15" s="57"/>
      <c r="G15" s="58"/>
      <c r="H15" s="17"/>
      <c r="I15" s="16"/>
    </row>
    <row r="16" spans="1:18" ht="20.25" customHeight="1" x14ac:dyDescent="0.25">
      <c r="A16" s="13"/>
      <c r="B16" s="13"/>
      <c r="C16" s="53"/>
      <c r="D16" s="54"/>
      <c r="E16" s="14"/>
      <c r="F16" s="57"/>
      <c r="G16" s="58"/>
      <c r="H16" s="17"/>
      <c r="I16" s="16"/>
    </row>
    <row r="17" spans="1:9" ht="20.25" customHeight="1" x14ac:dyDescent="0.25">
      <c r="A17" s="18" t="s">
        <v>21</v>
      </c>
      <c r="B17" s="57"/>
      <c r="C17" s="71"/>
      <c r="D17" s="71"/>
      <c r="E17" s="71"/>
      <c r="F17" s="71"/>
      <c r="G17" s="71"/>
      <c r="H17" s="58"/>
      <c r="I17" s="19">
        <f>SUM(I12:I16)</f>
        <v>0</v>
      </c>
    </row>
    <row r="18" spans="1:9" ht="20.25" customHeight="1" x14ac:dyDescent="0.25">
      <c r="A18" s="13" t="s">
        <v>22</v>
      </c>
      <c r="B18" s="72">
        <f>I17</f>
        <v>0</v>
      </c>
      <c r="C18" s="73"/>
      <c r="D18" s="73"/>
      <c r="E18" s="73"/>
      <c r="F18" s="73"/>
      <c r="G18" s="73"/>
      <c r="H18" s="73"/>
      <c r="I18" s="74"/>
    </row>
    <row r="19" spans="1:9" ht="20.25" customHeight="1" x14ac:dyDescent="0.25">
      <c r="A19" s="13" t="s">
        <v>23</v>
      </c>
      <c r="B19" s="20"/>
      <c r="C19" s="21"/>
      <c r="D19" s="21"/>
      <c r="E19" s="21"/>
      <c r="F19" s="22"/>
      <c r="G19" s="22"/>
      <c r="H19" s="22"/>
      <c r="I19" s="23"/>
    </row>
    <row r="20" spans="1:9" ht="43.5" customHeight="1" x14ac:dyDescent="0.25">
      <c r="A20" s="26" t="s">
        <v>24</v>
      </c>
      <c r="B20" s="60"/>
      <c r="C20" s="61" t="s">
        <v>25</v>
      </c>
      <c r="D20" s="61"/>
      <c r="E20" s="61"/>
      <c r="F20" s="63" t="s">
        <v>26</v>
      </c>
      <c r="G20" s="64"/>
      <c r="H20" s="65"/>
      <c r="I20" s="66"/>
    </row>
    <row r="21" spans="1:9" ht="28.5" customHeight="1" x14ac:dyDescent="0.25">
      <c r="A21" s="59"/>
      <c r="B21" s="59"/>
      <c r="C21" s="62"/>
      <c r="D21" s="62"/>
      <c r="E21" s="62"/>
      <c r="F21" s="67"/>
      <c r="G21" s="68"/>
      <c r="H21" s="69"/>
      <c r="I21" s="70"/>
    </row>
    <row r="22" spans="1:9" ht="20.2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20.25" customHeight="1" x14ac:dyDescent="0.25">
      <c r="A23" s="2" t="s">
        <v>27</v>
      </c>
      <c r="B23" s="2"/>
      <c r="C23" s="2"/>
      <c r="D23" s="2"/>
      <c r="E23" s="2"/>
      <c r="F23" s="24"/>
      <c r="G23" s="24"/>
      <c r="H23" s="2"/>
      <c r="I23" s="2"/>
    </row>
  </sheetData>
  <mergeCells count="37">
    <mergeCell ref="A20:A21"/>
    <mergeCell ref="B20:B21"/>
    <mergeCell ref="C20:E21"/>
    <mergeCell ref="F20:I21"/>
    <mergeCell ref="C15:D15"/>
    <mergeCell ref="F15:G15"/>
    <mergeCell ref="C16:D16"/>
    <mergeCell ref="F16:G16"/>
    <mergeCell ref="B17:H17"/>
    <mergeCell ref="B18:I18"/>
    <mergeCell ref="C12:D12"/>
    <mergeCell ref="F12:G12"/>
    <mergeCell ref="C13:D13"/>
    <mergeCell ref="F13:G13"/>
    <mergeCell ref="C14:D14"/>
    <mergeCell ref="F14:G14"/>
    <mergeCell ref="I8:I9"/>
    <mergeCell ref="F9:H9"/>
    <mergeCell ref="A10:A11"/>
    <mergeCell ref="B10:B11"/>
    <mergeCell ref="C10:D11"/>
    <mergeCell ref="E10:E11"/>
    <mergeCell ref="F10:H10"/>
    <mergeCell ref="I10:I11"/>
    <mergeCell ref="F11:G11"/>
    <mergeCell ref="A7:C7"/>
    <mergeCell ref="D7:F7"/>
    <mergeCell ref="G7:H7"/>
    <mergeCell ref="A8:A9"/>
    <mergeCell ref="B8:E9"/>
    <mergeCell ref="F8:H8"/>
    <mergeCell ref="A2:I2"/>
    <mergeCell ref="A3:I3"/>
    <mergeCell ref="I4:I5"/>
    <mergeCell ref="D5:F5"/>
    <mergeCell ref="D6:F6"/>
    <mergeCell ref="G6:H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買賣</vt:lpstr>
      <vt:lpstr>買賣!Print_Area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黃暐庭</dc:creator>
  <cp:lastModifiedBy>黃暐庭</cp:lastModifiedBy>
  <dcterms:created xsi:type="dcterms:W3CDTF">2025-07-09T05:14:36Z</dcterms:created>
  <dcterms:modified xsi:type="dcterms:W3CDTF">2025-07-09T08:37:02Z</dcterms:modified>
</cp:coreProperties>
</file>
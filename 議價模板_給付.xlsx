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y_Project\CBAS_Trading_Maker\"/>
    </mc:Choice>
  </mc:AlternateContent>
  <bookViews>
    <workbookView xWindow="0" yWindow="0" windowWidth="57600" windowHeight="11475"/>
  </bookViews>
  <sheets>
    <sheet name="給付" sheetId="2" r:id="rId1"/>
  </sheets>
  <externalReferences>
    <externalReference r:id="rId2"/>
    <externalReference r:id="rId3"/>
  </externalReferences>
  <definedNames>
    <definedName name="AUpdate">1</definedName>
    <definedName name="BUpdate">1</definedName>
    <definedName name="Exec" localSheetId="0">#REF!</definedName>
    <definedName name="Exec">#REF!</definedName>
    <definedName name="Exec2">[1]交易上傳_提解!$H$4:$Y$54</definedName>
    <definedName name="GUpdate">0</definedName>
    <definedName name="_xlnm.Print_Area" localSheetId="0">給付!$A$1:$I$22</definedName>
    <definedName name="tewqsdg">#REF!</definedName>
    <definedName name="TUpdate">1</definedName>
    <definedName name="XX_TEJ1" localSheetId="0">#REF!</definedName>
    <definedName name="XX_TEJ1">#REF!</definedName>
    <definedName name="XX_TEJ2" localSheetId="0">#REF!</definedName>
    <definedName name="XX_TEJ2">#REF!</definedName>
    <definedName name="XX_TEJ3" localSheetId="0">#REF!</definedName>
    <definedName name="XX_TEJ3">#REF!</definedName>
    <definedName name="XX_TEJ4" localSheetId="0">#REF!</definedName>
    <definedName name="XX_TEJ4">#REF!</definedName>
    <definedName name="XX_TEJ5" localSheetId="0">#REF!</definedName>
    <definedName name="XX_TEJ5">#REF!</definedName>
    <definedName name="XX_TEJ6" localSheetId="0">#REF!</definedName>
    <definedName name="XX_TEJ6">#REF!</definedName>
    <definedName name="XX_TEJX" localSheetId="0">#REF!</definedName>
    <definedName name="XX_TEJ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2" l="1"/>
  <c r="I19" i="2" s="1"/>
  <c r="I4" i="2"/>
  <c r="I5" i="2" s="1"/>
  <c r="I18" i="2" l="1"/>
</calcChain>
</file>

<file path=xl/sharedStrings.xml><?xml version="1.0" encoding="utf-8"?>
<sst xmlns="http://schemas.openxmlformats.org/spreadsheetml/2006/main" count="34" uniqueCount="30">
  <si>
    <t>張數</t>
    <phoneticPr fontId="4" type="noConversion"/>
  </si>
  <si>
    <t>統一綜合證券股份有限公司</t>
    <phoneticPr fontId="4" type="noConversion"/>
  </si>
  <si>
    <t>櫃檯買賣合併債券給付結算憑單暨交付清單</t>
    <phoneticPr fontId="4" type="noConversion"/>
  </si>
  <si>
    <t>客    戶：</t>
    <phoneticPr fontId="4" type="noConversion"/>
  </si>
  <si>
    <t>劉興餘</t>
    <phoneticPr fontId="2" type="noConversion"/>
  </si>
  <si>
    <t>成交日期 :</t>
    <phoneticPr fontId="2" type="noConversion"/>
  </si>
  <si>
    <t>集保帳號：</t>
    <phoneticPr fontId="4" type="noConversion"/>
  </si>
  <si>
    <t>給付結算日期 :</t>
    <phoneticPr fontId="4" type="noConversion"/>
  </si>
  <si>
    <t>成交單編號</t>
    <phoneticPr fontId="4" type="noConversion"/>
  </si>
  <si>
    <t>交易別</t>
    <phoneticPr fontId="4" type="noConversion"/>
  </si>
  <si>
    <t>債券名稱</t>
    <phoneticPr fontId="4" type="noConversion"/>
  </si>
  <si>
    <t>買入/賣出面額</t>
    <phoneticPr fontId="4" type="noConversion"/>
  </si>
  <si>
    <t>債券收付              方式</t>
    <phoneticPr fontId="4" type="noConversion"/>
  </si>
  <si>
    <t>債券編號/                            保管憑證編號</t>
    <phoneticPr fontId="4" type="noConversion"/>
  </si>
  <si>
    <t>應收(付)金額</t>
    <phoneticPr fontId="4" type="noConversion"/>
  </si>
  <si>
    <t>收            入            款            項</t>
    <phoneticPr fontId="4" type="noConversion"/>
  </si>
  <si>
    <t>付            出            款            項</t>
    <phoneticPr fontId="4" type="noConversion"/>
  </si>
  <si>
    <t>收款          方式</t>
    <phoneticPr fontId="4" type="noConversion"/>
  </si>
  <si>
    <t>銀行帳號/支票號碼</t>
    <phoneticPr fontId="4" type="noConversion"/>
  </si>
  <si>
    <t>金        額</t>
    <phoneticPr fontId="4" type="noConversion"/>
  </si>
  <si>
    <t>付款          方式</t>
    <phoneticPr fontId="4" type="noConversion"/>
  </si>
  <si>
    <t>匯款</t>
    <phoneticPr fontId="4" type="noConversion"/>
  </si>
  <si>
    <t>國泰世華商業銀行復興分行</t>
    <phoneticPr fontId="2" type="noConversion"/>
  </si>
  <si>
    <t>018506561155</t>
    <phoneticPr fontId="2" type="noConversion"/>
  </si>
  <si>
    <t>合計</t>
    <phoneticPr fontId="4" type="noConversion"/>
  </si>
  <si>
    <t>淨收</t>
    <phoneticPr fontId="4" type="noConversion"/>
  </si>
  <si>
    <t>淨付</t>
    <phoneticPr fontId="4" type="noConversion"/>
  </si>
  <si>
    <t>註：本憑單所記載各項買賣，業已款券兩訖。</t>
    <phoneticPr fontId="4" type="noConversion"/>
  </si>
  <si>
    <t xml:space="preserve">證券商簽章 : </t>
    <phoneticPr fontId="2" type="noConversion"/>
  </si>
  <si>
    <t>客戶簽章：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</si>
</sst>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.00_);_(* \(#,##0.00\);_(* &quot;-&quot;??_);_(@_)"/>
    <numFmt numFmtId="177" formatCode="_-* #,##0_-;\-* #,##0_-;_-* &quot;-&quot;??_-;_-@_-"/>
    <numFmt numFmtId="179" formatCode="#,##0_ "/>
    <numFmt numFmtId="180" formatCode="_(* #,##0_);_(* \(#,##0\);_(* &quot;-&quot;_);_(@_)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2"/>
      <color theme="1"/>
      <name val="標楷體"/>
      <family val="4"/>
      <charset val="136"/>
    </font>
    <font>
      <sz val="14"/>
      <name val="標楷體"/>
      <family val="4"/>
      <charset val="136"/>
    </font>
    <font>
      <sz val="12"/>
      <color indexed="8"/>
      <name val="標楷體"/>
      <family val="4"/>
      <charset val="136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8" xfId="1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9" fontId="3" fillId="0" borderId="17" xfId="0" applyNumberFormat="1" applyFont="1" applyBorder="1" applyAlignment="1">
      <alignment horizontal="center" vertical="center" wrapText="1"/>
    </xf>
    <xf numFmtId="177" fontId="3" fillId="0" borderId="21" xfId="1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79" fontId="3" fillId="0" borderId="23" xfId="0" applyNumberFormat="1" applyFont="1" applyBorder="1" applyAlignment="1">
      <alignment horizontal="center" vertical="center" wrapText="1"/>
    </xf>
    <xf numFmtId="177" fontId="3" fillId="0" borderId="27" xfId="1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177" fontId="3" fillId="0" borderId="9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7" fontId="3" fillId="0" borderId="18" xfId="1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 shrinkToFit="1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3" fontId="3" fillId="0" borderId="3" xfId="2" applyNumberFormat="1" applyFont="1" applyBorder="1" applyAlignment="1">
      <alignment horizontal="center" vertical="center"/>
    </xf>
    <xf numFmtId="0" fontId="3" fillId="0" borderId="4" xfId="2" applyNumberFormat="1" applyFont="1" applyBorder="1" applyAlignment="1">
      <alignment horizontal="center" vertical="center"/>
    </xf>
    <xf numFmtId="177" fontId="3" fillId="0" borderId="18" xfId="1" applyNumberFormat="1" applyFont="1" applyBorder="1" applyAlignment="1">
      <alignment horizontal="center" vertical="center"/>
    </xf>
    <xf numFmtId="177" fontId="3" fillId="0" borderId="21" xfId="1" applyNumberFormat="1" applyFont="1" applyBorder="1" applyAlignment="1">
      <alignment horizontal="center" vertical="center"/>
    </xf>
    <xf numFmtId="177" fontId="3" fillId="0" borderId="34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7" fontId="3" fillId="0" borderId="1" xfId="1" applyNumberFormat="1" applyFont="1" applyBorder="1" applyAlignment="1">
      <alignment horizontal="center" vertical="center"/>
    </xf>
    <xf numFmtId="177" fontId="3" fillId="0" borderId="17" xfId="1" applyNumberFormat="1" applyFont="1" applyBorder="1" applyAlignment="1">
      <alignment horizontal="center" vertical="center"/>
    </xf>
    <xf numFmtId="177" fontId="3" fillId="0" borderId="5" xfId="1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</cellXfs>
  <cellStyles count="3">
    <cellStyle name="一般" xfId="0" builtinId="0"/>
    <cellStyle name="千分位" xfId="1" builtinId="3"/>
    <cellStyle name="千分位[0]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>
            <v/>
          </cell>
          <cell r="I11" t="str">
            <v>ASOP22080074</v>
          </cell>
          <cell r="J11" t="str">
            <v/>
          </cell>
          <cell r="K11" t="str">
            <v/>
          </cell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>
            <v/>
          </cell>
          <cell r="P11" t="str">
            <v/>
          </cell>
          <cell r="Q11" t="str">
            <v/>
          </cell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>
            <v/>
          </cell>
          <cell r="W11">
            <v>99.66</v>
          </cell>
          <cell r="X11" t="str">
            <v/>
          </cell>
          <cell r="Y11" t="str">
            <v/>
          </cell>
        </row>
        <row r="12">
          <cell r="H12" t="str">
            <v/>
          </cell>
          <cell r="I12" t="str">
            <v>ASOP22080084</v>
          </cell>
          <cell r="J12" t="str">
            <v/>
          </cell>
          <cell r="K12" t="str">
            <v/>
          </cell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>
            <v/>
          </cell>
          <cell r="P12" t="str">
            <v/>
          </cell>
          <cell r="Q12" t="str">
            <v/>
          </cell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>
            <v/>
          </cell>
          <cell r="W12">
            <v>97.34</v>
          </cell>
          <cell r="X12" t="str">
            <v/>
          </cell>
          <cell r="Y12" t="str">
            <v/>
          </cell>
        </row>
        <row r="13"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4"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5"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6"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7"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8"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9"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20"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1"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2"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3"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4"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5"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6"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7"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8"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9"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30"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1"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2"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3"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4"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5"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6"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7"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8"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9"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40"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1"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2"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3"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4"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5"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6"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7"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8"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9"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50"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1"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2"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3"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4"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theme="5" tint="0.59999389629810485"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defaultColWidth="9" defaultRowHeight="16.5" x14ac:dyDescent="0.25"/>
  <cols>
    <col min="1" max="1" width="12.625" style="4" customWidth="1"/>
    <col min="2" max="2" width="12.75" style="4" bestFit="1" customWidth="1"/>
    <col min="3" max="3" width="18.125" style="4" customWidth="1"/>
    <col min="4" max="4" width="22.625" style="4" customWidth="1"/>
    <col min="5" max="5" width="5.5" style="4" bestFit="1" customWidth="1"/>
    <col min="6" max="6" width="9" style="4"/>
    <col min="7" max="7" width="11.625" style="4" bestFit="1" customWidth="1"/>
    <col min="8" max="8" width="18.375" style="4" customWidth="1"/>
    <col min="9" max="9" width="16.5" style="4" customWidth="1"/>
    <col min="10" max="16384" width="9" style="4"/>
  </cols>
  <sheetData>
    <row r="1" spans="1:10" ht="19.5" x14ac:dyDescent="0.25">
      <c r="A1" s="37" t="s">
        <v>1</v>
      </c>
      <c r="B1" s="37"/>
      <c r="C1" s="37"/>
      <c r="D1" s="37"/>
      <c r="E1" s="37"/>
      <c r="F1" s="37"/>
      <c r="G1" s="37"/>
      <c r="H1" s="37"/>
      <c r="I1" s="37"/>
      <c r="J1"/>
    </row>
    <row r="2" spans="1:10" ht="19.5" x14ac:dyDescent="0.25">
      <c r="A2" s="37" t="s">
        <v>2</v>
      </c>
      <c r="B2" s="37"/>
      <c r="C2" s="37"/>
      <c r="D2" s="37"/>
      <c r="E2" s="37"/>
      <c r="F2" s="37"/>
      <c r="G2" s="37"/>
      <c r="H2" s="37"/>
      <c r="I2" s="37"/>
      <c r="J2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/>
    </row>
    <row r="4" spans="1:10" x14ac:dyDescent="0.25">
      <c r="A4" s="3" t="s">
        <v>3</v>
      </c>
      <c r="B4" s="38" t="s">
        <v>4</v>
      </c>
      <c r="C4" s="39"/>
      <c r="D4" s="39"/>
      <c r="E4" s="39"/>
      <c r="F4" s="39"/>
      <c r="G4" s="3"/>
      <c r="H4" s="5" t="s">
        <v>5</v>
      </c>
      <c r="I4" s="6">
        <f ca="1">TODAY()</f>
        <v>45847</v>
      </c>
      <c r="J4"/>
    </row>
    <row r="5" spans="1:10" ht="17.25" thickBot="1" x14ac:dyDescent="0.3">
      <c r="A5" s="3" t="s">
        <v>6</v>
      </c>
      <c r="B5" s="1">
        <v>92270123415</v>
      </c>
      <c r="C5" s="3"/>
      <c r="D5" s="3"/>
      <c r="E5" s="3"/>
      <c r="F5" s="3"/>
      <c r="G5" s="3"/>
      <c r="H5" s="5" t="s">
        <v>7</v>
      </c>
      <c r="I5" s="7">
        <f ca="1">WORKDAY(I4,1,[2]holiday!$A$2:$A$163)</f>
        <v>45848</v>
      </c>
      <c r="J5"/>
    </row>
    <row r="6" spans="1:10" ht="33" x14ac:dyDescent="0.25">
      <c r="A6" s="8" t="s">
        <v>8</v>
      </c>
      <c r="B6" s="9" t="s">
        <v>9</v>
      </c>
      <c r="C6" s="9" t="s">
        <v>10</v>
      </c>
      <c r="D6" s="10" t="s">
        <v>11</v>
      </c>
      <c r="E6" s="40" t="s">
        <v>0</v>
      </c>
      <c r="F6" s="41"/>
      <c r="G6" s="9" t="s">
        <v>12</v>
      </c>
      <c r="H6" s="9" t="s">
        <v>13</v>
      </c>
      <c r="I6" s="11" t="s">
        <v>14</v>
      </c>
      <c r="J6"/>
    </row>
    <row r="7" spans="1:10" x14ac:dyDescent="0.25">
      <c r="A7" s="12"/>
      <c r="B7" s="13"/>
      <c r="C7" s="14"/>
      <c r="D7" s="15"/>
      <c r="E7" s="42"/>
      <c r="F7" s="43"/>
      <c r="G7" s="13"/>
      <c r="H7" s="16"/>
      <c r="I7" s="17"/>
      <c r="J7"/>
    </row>
    <row r="8" spans="1:10" x14ac:dyDescent="0.25">
      <c r="A8" s="12"/>
      <c r="B8" s="13"/>
      <c r="C8" s="18"/>
      <c r="D8" s="19"/>
      <c r="E8" s="35"/>
      <c r="F8" s="36"/>
      <c r="G8" s="13"/>
      <c r="H8" s="13"/>
      <c r="I8" s="20"/>
      <c r="J8"/>
    </row>
    <row r="9" spans="1:10" x14ac:dyDescent="0.25">
      <c r="A9" s="12"/>
      <c r="B9" s="13"/>
      <c r="C9" s="18"/>
      <c r="D9" s="19"/>
      <c r="E9" s="35"/>
      <c r="F9" s="36"/>
      <c r="G9" s="13"/>
      <c r="H9" s="13"/>
      <c r="I9" s="20"/>
      <c r="J9"/>
    </row>
    <row r="10" spans="1:10" x14ac:dyDescent="0.25">
      <c r="A10" s="12"/>
      <c r="B10" s="13"/>
      <c r="C10" s="18"/>
      <c r="D10" s="19"/>
      <c r="E10" s="35"/>
      <c r="F10" s="36"/>
      <c r="G10" s="13"/>
      <c r="H10" s="13"/>
      <c r="I10" s="20"/>
      <c r="J10"/>
    </row>
    <row r="11" spans="1:10" ht="17.25" thickBot="1" x14ac:dyDescent="0.3">
      <c r="A11" s="21"/>
      <c r="B11" s="22"/>
      <c r="C11" s="23"/>
      <c r="D11" s="24"/>
      <c r="E11" s="52"/>
      <c r="F11" s="53"/>
      <c r="G11" s="22"/>
      <c r="H11" s="22"/>
      <c r="I11" s="25"/>
      <c r="J11"/>
    </row>
    <row r="12" spans="1:10" ht="17.2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/>
    </row>
    <row r="13" spans="1:10" x14ac:dyDescent="0.25">
      <c r="A13" s="54" t="s">
        <v>15</v>
      </c>
      <c r="B13" s="55"/>
      <c r="C13" s="55"/>
      <c r="D13" s="56"/>
      <c r="E13" s="57" t="s">
        <v>16</v>
      </c>
      <c r="F13" s="57"/>
      <c r="G13" s="57"/>
      <c r="H13" s="57"/>
      <c r="I13" s="58"/>
      <c r="J13"/>
    </row>
    <row r="14" spans="1:10" ht="33" x14ac:dyDescent="0.25">
      <c r="A14" s="26" t="s">
        <v>17</v>
      </c>
      <c r="B14" s="59" t="s">
        <v>18</v>
      </c>
      <c r="C14" s="59"/>
      <c r="D14" s="2" t="s">
        <v>19</v>
      </c>
      <c r="E14" s="2" t="s">
        <v>20</v>
      </c>
      <c r="F14" s="59" t="s">
        <v>18</v>
      </c>
      <c r="G14" s="59"/>
      <c r="H14" s="59"/>
      <c r="I14" s="27" t="s">
        <v>19</v>
      </c>
      <c r="J14"/>
    </row>
    <row r="15" spans="1:10" x14ac:dyDescent="0.25">
      <c r="A15" s="60" t="s">
        <v>21</v>
      </c>
      <c r="B15" s="63"/>
      <c r="C15" s="64"/>
      <c r="D15" s="66"/>
      <c r="E15" s="64" t="s">
        <v>21</v>
      </c>
      <c r="F15" s="69" t="s">
        <v>22</v>
      </c>
      <c r="G15" s="70"/>
      <c r="H15" s="71"/>
      <c r="I15" s="44">
        <f>SUM(I7:I11)</f>
        <v>0</v>
      </c>
      <c r="J15"/>
    </row>
    <row r="16" spans="1:10" x14ac:dyDescent="0.25">
      <c r="A16" s="61"/>
      <c r="B16" s="65"/>
      <c r="C16" s="36"/>
      <c r="D16" s="67"/>
      <c r="E16" s="36"/>
      <c r="F16" s="72"/>
      <c r="G16" s="73"/>
      <c r="H16" s="74"/>
      <c r="I16" s="45"/>
      <c r="J16"/>
    </row>
    <row r="17" spans="1:10" x14ac:dyDescent="0.25">
      <c r="A17" s="62"/>
      <c r="B17" s="47"/>
      <c r="C17" s="48"/>
      <c r="D17" s="68"/>
      <c r="E17" s="48"/>
      <c r="F17" s="49" t="s">
        <v>23</v>
      </c>
      <c r="G17" s="50"/>
      <c r="H17" s="51"/>
      <c r="I17" s="46"/>
      <c r="J17"/>
    </row>
    <row r="18" spans="1:10" x14ac:dyDescent="0.25">
      <c r="A18" s="28" t="s">
        <v>24</v>
      </c>
      <c r="B18" s="75"/>
      <c r="C18" s="75"/>
      <c r="D18" s="29"/>
      <c r="E18" s="30" t="s">
        <v>24</v>
      </c>
      <c r="F18" s="75"/>
      <c r="G18" s="75"/>
      <c r="H18" s="75"/>
      <c r="I18" s="31">
        <f>$I$15</f>
        <v>0</v>
      </c>
      <c r="J18"/>
    </row>
    <row r="19" spans="1:10" x14ac:dyDescent="0.25">
      <c r="A19" s="32" t="s">
        <v>25</v>
      </c>
      <c r="B19" s="76"/>
      <c r="C19" s="76"/>
      <c r="D19" s="29"/>
      <c r="E19" s="33" t="s">
        <v>26</v>
      </c>
      <c r="F19" s="76"/>
      <c r="G19" s="76"/>
      <c r="H19" s="76"/>
      <c r="I19" s="31">
        <f>$I$15</f>
        <v>0</v>
      </c>
      <c r="J19"/>
    </row>
    <row r="20" spans="1:10" ht="17.25" thickBot="1" x14ac:dyDescent="0.3">
      <c r="A20" s="77" t="s">
        <v>27</v>
      </c>
      <c r="B20" s="78"/>
      <c r="C20" s="78"/>
      <c r="D20" s="78"/>
      <c r="E20" s="78"/>
      <c r="F20" s="78"/>
      <c r="G20" s="78"/>
      <c r="H20" s="78"/>
      <c r="I20" s="79"/>
      <c r="J20"/>
    </row>
    <row r="21" spans="1:10" x14ac:dyDescent="0.25">
      <c r="A21" s="34" t="s">
        <v>28</v>
      </c>
      <c r="B21" s="34"/>
      <c r="C21" s="34"/>
      <c r="D21" s="34"/>
      <c r="E21" s="34"/>
      <c r="F21" s="3"/>
      <c r="G21" s="1" t="s">
        <v>29</v>
      </c>
      <c r="I21" s="3"/>
      <c r="J21"/>
    </row>
    <row r="22" spans="1:10" x14ac:dyDescent="0.25">
      <c r="J22"/>
    </row>
    <row r="23" spans="1:10" x14ac:dyDescent="0.25">
      <c r="J23"/>
    </row>
    <row r="24" spans="1:10" x14ac:dyDescent="0.25">
      <c r="J24"/>
    </row>
    <row r="25" spans="1:10" x14ac:dyDescent="0.25">
      <c r="J25"/>
    </row>
    <row r="26" spans="1:10" x14ac:dyDescent="0.25">
      <c r="J26"/>
    </row>
    <row r="27" spans="1:10" x14ac:dyDescent="0.25">
      <c r="J27"/>
    </row>
    <row r="28" spans="1:10" x14ac:dyDescent="0.25">
      <c r="J28"/>
    </row>
    <row r="29" spans="1:10" x14ac:dyDescent="0.25">
      <c r="J29"/>
    </row>
    <row r="30" spans="1:10" x14ac:dyDescent="0.25">
      <c r="J30"/>
    </row>
    <row r="31" spans="1:10" x14ac:dyDescent="0.25">
      <c r="J31"/>
    </row>
    <row r="32" spans="1:10" x14ac:dyDescent="0.25">
      <c r="J32"/>
    </row>
    <row r="33" spans="10:10" x14ac:dyDescent="0.25">
      <c r="J33"/>
    </row>
    <row r="34" spans="10:10" x14ac:dyDescent="0.25">
      <c r="J34"/>
    </row>
    <row r="35" spans="10:10" x14ac:dyDescent="0.25">
      <c r="J35"/>
    </row>
    <row r="36" spans="10:10" x14ac:dyDescent="0.25">
      <c r="J36"/>
    </row>
  </sheetData>
  <mergeCells count="26">
    <mergeCell ref="B18:C18"/>
    <mergeCell ref="F18:H18"/>
    <mergeCell ref="B19:C19"/>
    <mergeCell ref="F19:H19"/>
    <mergeCell ref="A20:I20"/>
    <mergeCell ref="I15:I17"/>
    <mergeCell ref="B17:C17"/>
    <mergeCell ref="F17:H17"/>
    <mergeCell ref="E9:F9"/>
    <mergeCell ref="E10:F10"/>
    <mergeCell ref="E11:F11"/>
    <mergeCell ref="A13:D13"/>
    <mergeCell ref="E13:I13"/>
    <mergeCell ref="B14:C14"/>
    <mergeCell ref="F14:H14"/>
    <mergeCell ref="A15:A17"/>
    <mergeCell ref="B15:C16"/>
    <mergeCell ref="D15:D17"/>
    <mergeCell ref="E15:E17"/>
    <mergeCell ref="F15:H16"/>
    <mergeCell ref="E8:F8"/>
    <mergeCell ref="A1:I1"/>
    <mergeCell ref="A2:I2"/>
    <mergeCell ref="B4:F4"/>
    <mergeCell ref="E6:F6"/>
    <mergeCell ref="E7:F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給付</vt:lpstr>
      <vt:lpstr>給付!Print_Area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黃暐庭</dc:creator>
  <cp:lastModifiedBy>黃暐庭</cp:lastModifiedBy>
  <dcterms:created xsi:type="dcterms:W3CDTF">2025-07-09T05:14:36Z</dcterms:created>
  <dcterms:modified xsi:type="dcterms:W3CDTF">2025-07-09T08:37:30Z</dcterms:modified>
</cp:coreProperties>
</file>